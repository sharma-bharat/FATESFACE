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84F4EAD1-F2BA-934A-883B-2C1D9A7EB863}" xr6:coauthVersionLast="47" xr6:coauthVersionMax="47" xr10:uidLastSave="{00000000-0000-0000-0000-000000000000}"/>
  <bookViews>
    <workbookView xWindow="57400" yWindow="-7320" windowWidth="22760" windowHeight="24280" xr2:uid="{825E011B-43B4-C040-A3FC-4A1DB3827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0" i="1"/>
  <c r="F39" i="1"/>
  <c r="F38" i="1"/>
  <c r="F37" i="1"/>
  <c r="F36" i="1"/>
  <c r="F35" i="1"/>
  <c r="F34" i="1"/>
  <c r="F33" i="1"/>
  <c r="F32" i="1"/>
  <c r="F31" i="1"/>
  <c r="E41" i="1"/>
  <c r="E40" i="1"/>
  <c r="E39" i="1"/>
  <c r="E38" i="1"/>
  <c r="E37" i="1"/>
  <c r="E36" i="1"/>
  <c r="E35" i="1"/>
  <c r="E34" i="1"/>
  <c r="E33" i="1"/>
  <c r="E32" i="1"/>
  <c r="E31" i="1"/>
  <c r="H41" i="1"/>
  <c r="H40" i="1"/>
  <c r="H39" i="1"/>
  <c r="H38" i="1"/>
  <c r="H37" i="1"/>
  <c r="H36" i="1"/>
  <c r="H35" i="1"/>
  <c r="H34" i="1"/>
  <c r="H33" i="1"/>
  <c r="H32" i="1"/>
  <c r="H31" i="1"/>
  <c r="I41" i="1"/>
  <c r="I40" i="1"/>
  <c r="I39" i="1"/>
  <c r="I38" i="1"/>
  <c r="I37" i="1"/>
  <c r="I36" i="1"/>
  <c r="I35" i="1"/>
  <c r="I34" i="1"/>
  <c r="I33" i="1"/>
  <c r="I32" i="1"/>
  <c r="I31" i="1"/>
  <c r="F29" i="1"/>
  <c r="I29" i="1"/>
  <c r="I28" i="1"/>
  <c r="I27" i="1"/>
  <c r="I26" i="1"/>
  <c r="I25" i="1"/>
  <c r="I24" i="1"/>
  <c r="I23" i="1"/>
  <c r="I22" i="1"/>
  <c r="I21" i="1"/>
  <c r="I20" i="1"/>
  <c r="I19" i="1"/>
  <c r="H29" i="1"/>
  <c r="H28" i="1"/>
  <c r="H27" i="1"/>
  <c r="H26" i="1"/>
  <c r="H25" i="1"/>
  <c r="H24" i="1"/>
  <c r="H23" i="1"/>
  <c r="H22" i="1"/>
  <c r="H21" i="1"/>
  <c r="H20" i="1"/>
  <c r="H19" i="1"/>
  <c r="F28" i="1"/>
  <c r="F27" i="1"/>
  <c r="F26" i="1"/>
  <c r="F25" i="1"/>
  <c r="F24" i="1"/>
  <c r="F23" i="1"/>
  <c r="F22" i="1"/>
  <c r="F21" i="1"/>
  <c r="F20" i="1"/>
  <c r="F19" i="1"/>
  <c r="E29" i="1"/>
  <c r="E28" i="1"/>
  <c r="E27" i="1"/>
  <c r="E26" i="1"/>
  <c r="E25" i="1"/>
  <c r="E24" i="1"/>
  <c r="E23" i="1"/>
  <c r="E22" i="1"/>
  <c r="E21" i="1"/>
  <c r="E20" i="1"/>
  <c r="E19" i="1"/>
</calcChain>
</file>

<file path=xl/sharedStrings.xml><?xml version="1.0" encoding="utf-8"?>
<sst xmlns="http://schemas.openxmlformats.org/spreadsheetml/2006/main" count="98" uniqueCount="13">
  <si>
    <t>rownames</t>
  </si>
  <si>
    <t>YEAR</t>
  </si>
  <si>
    <t>co2</t>
  </si>
  <si>
    <t>site</t>
  </si>
  <si>
    <t>NPP</t>
  </si>
  <si>
    <t>NUP</t>
  </si>
  <si>
    <t>ELE</t>
  </si>
  <si>
    <t>AMB</t>
  </si>
  <si>
    <t>AX</t>
  </si>
  <si>
    <t>ASE</t>
  </si>
  <si>
    <t>Response</t>
  </si>
  <si>
    <t>ORNL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</si>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</sst>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785F-CC9A-AF46-9A8B-300529CE6CDD}">
  <dimension ref="A1:M41"/>
  <sheetViews>
    <sheetView tabSelected="1" workbookViewId="0">
      <selection activeCell="L18" sqref="L18"/>
    </sheetView>
  </sheetViews>
  <sheetFormatPr baseColWidth="10" defaultRowHeight="16" x14ac:dyDescent="0.2"/>
  <sheetData>
    <row r="1" spans="1:13" x14ac:dyDescent="0.2">
      <c r="E1" t="s">
        <v>8</v>
      </c>
      <c r="F1" t="s">
        <v>8</v>
      </c>
      <c r="G1" t="s">
        <v>8</v>
      </c>
      <c r="H1" t="s">
        <v>8</v>
      </c>
      <c r="J1" t="s">
        <v>9</v>
      </c>
      <c r="K1" t="s">
        <v>9</v>
      </c>
      <c r="L1" t="s">
        <v>9</v>
      </c>
      <c r="M1" t="s">
        <v>9</v>
      </c>
    </row>
    <row r="2" spans="1:13" x14ac:dyDescent="0.2">
      <c r="E2" t="s">
        <v>6</v>
      </c>
      <c r="F2" t="s">
        <v>6</v>
      </c>
      <c r="G2" t="s">
        <v>7</v>
      </c>
      <c r="H2" t="s">
        <v>7</v>
      </c>
      <c r="J2" t="s">
        <v>6</v>
      </c>
      <c r="K2" t="s">
        <v>6</v>
      </c>
      <c r="L2" t="s">
        <v>7</v>
      </c>
      <c r="M2" t="s">
        <v>7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4</v>
      </c>
      <c r="H3" t="s">
        <v>5</v>
      </c>
      <c r="J3" t="s">
        <v>4</v>
      </c>
      <c r="K3" t="s">
        <v>5</v>
      </c>
      <c r="L3" t="s">
        <v>4</v>
      </c>
      <c r="M3" t="s">
        <v>5</v>
      </c>
    </row>
    <row r="4" spans="1:13" x14ac:dyDescent="0.2">
      <c r="A4">
        <v>1</v>
      </c>
      <c r="B4">
        <v>1998</v>
      </c>
      <c r="C4" t="s">
        <v>7</v>
      </c>
      <c r="D4" t="s">
        <v>11</v>
      </c>
      <c r="E4">
        <v>1034.5</v>
      </c>
      <c r="F4">
        <v>7.53</v>
      </c>
      <c r="G4">
        <v>829.33333330000005</v>
      </c>
      <c r="H4">
        <v>6.8566666669999998</v>
      </c>
      <c r="J4">
        <v>4.5</v>
      </c>
      <c r="K4">
        <v>0.26500000000000001</v>
      </c>
      <c r="L4">
        <v>24.968869510000001</v>
      </c>
      <c r="M4">
        <v>0.59403516499999998</v>
      </c>
    </row>
    <row r="5" spans="1:13" x14ac:dyDescent="0.2">
      <c r="A5">
        <v>2</v>
      </c>
      <c r="B5">
        <v>1999</v>
      </c>
      <c r="C5" t="s">
        <v>7</v>
      </c>
      <c r="D5" t="s">
        <v>11</v>
      </c>
      <c r="E5">
        <v>998.5</v>
      </c>
      <c r="F5">
        <v>7.51</v>
      </c>
      <c r="G5">
        <v>870.33333330000005</v>
      </c>
      <c r="H5">
        <v>7.5366666670000004</v>
      </c>
      <c r="J5">
        <v>23.5</v>
      </c>
      <c r="K5">
        <v>0.33500000000000002</v>
      </c>
      <c r="L5">
        <v>67.395186109999997</v>
      </c>
      <c r="M5">
        <v>1.538964298</v>
      </c>
    </row>
    <row r="6" spans="1:13" x14ac:dyDescent="0.2">
      <c r="A6">
        <v>3</v>
      </c>
      <c r="B6">
        <v>2000</v>
      </c>
      <c r="C6" t="s">
        <v>7</v>
      </c>
      <c r="D6" t="s">
        <v>11</v>
      </c>
      <c r="E6">
        <v>1201</v>
      </c>
      <c r="F6">
        <v>10.17</v>
      </c>
      <c r="G6">
        <v>999.66666669999995</v>
      </c>
      <c r="H6">
        <v>7.9166666670000003</v>
      </c>
      <c r="J6">
        <v>32</v>
      </c>
      <c r="K6">
        <v>0.79500000000000004</v>
      </c>
      <c r="L6">
        <v>44.160062400000001</v>
      </c>
      <c r="M6">
        <v>1.4823554830000001</v>
      </c>
    </row>
    <row r="7" spans="1:13" x14ac:dyDescent="0.2">
      <c r="A7">
        <v>4</v>
      </c>
      <c r="B7">
        <v>2001</v>
      </c>
      <c r="C7" t="s">
        <v>7</v>
      </c>
      <c r="D7" t="s">
        <v>11</v>
      </c>
      <c r="E7">
        <v>1287</v>
      </c>
      <c r="F7">
        <v>10.130000000000001</v>
      </c>
      <c r="G7">
        <v>1031</v>
      </c>
      <c r="H7">
        <v>7.306666667</v>
      </c>
      <c r="J7">
        <v>206</v>
      </c>
      <c r="K7">
        <v>2.89</v>
      </c>
      <c r="L7">
        <v>80.133222410000002</v>
      </c>
      <c r="M7">
        <v>1.1761566409999999</v>
      </c>
    </row>
    <row r="8" spans="1:13" x14ac:dyDescent="0.2">
      <c r="A8">
        <v>5</v>
      </c>
      <c r="B8">
        <v>2002</v>
      </c>
      <c r="C8" t="s">
        <v>7</v>
      </c>
      <c r="D8" t="s">
        <v>11</v>
      </c>
      <c r="E8">
        <v>1210.5</v>
      </c>
      <c r="F8">
        <v>10.28</v>
      </c>
      <c r="G8">
        <v>913.66666669999995</v>
      </c>
      <c r="H8">
        <v>8.1166666670000005</v>
      </c>
      <c r="J8">
        <v>93.5</v>
      </c>
      <c r="K8">
        <v>0.92</v>
      </c>
      <c r="L8">
        <v>35.139404910000003</v>
      </c>
      <c r="M8">
        <v>0.230964163</v>
      </c>
    </row>
    <row r="9" spans="1:13" x14ac:dyDescent="0.2">
      <c r="A9">
        <v>6</v>
      </c>
      <c r="B9">
        <v>2003</v>
      </c>
      <c r="C9" t="s">
        <v>7</v>
      </c>
      <c r="D9" t="s">
        <v>11</v>
      </c>
      <c r="E9">
        <v>1122</v>
      </c>
      <c r="F9">
        <v>7.71</v>
      </c>
      <c r="G9">
        <v>994</v>
      </c>
      <c r="H9">
        <v>8.0966666669999992</v>
      </c>
      <c r="J9">
        <v>33</v>
      </c>
      <c r="K9">
        <v>0.14000000000000001</v>
      </c>
      <c r="L9">
        <v>54.003086330000002</v>
      </c>
      <c r="M9">
        <v>0.144952099</v>
      </c>
    </row>
    <row r="10" spans="1:13" x14ac:dyDescent="0.2">
      <c r="A10">
        <v>7</v>
      </c>
      <c r="B10">
        <v>2004</v>
      </c>
      <c r="C10" t="s">
        <v>7</v>
      </c>
      <c r="D10" t="s">
        <v>11</v>
      </c>
      <c r="E10">
        <v>986.5</v>
      </c>
      <c r="F10">
        <v>7.4</v>
      </c>
      <c r="G10">
        <v>827.66666669999995</v>
      </c>
      <c r="H10">
        <v>5.8366666670000003</v>
      </c>
      <c r="J10">
        <v>32.5</v>
      </c>
      <c r="K10">
        <v>0.61499999999999999</v>
      </c>
      <c r="L10">
        <v>26.859717880000002</v>
      </c>
      <c r="M10">
        <v>0.301901382</v>
      </c>
    </row>
    <row r="11" spans="1:13" x14ac:dyDescent="0.2">
      <c r="A11">
        <v>8</v>
      </c>
      <c r="B11">
        <v>2005</v>
      </c>
      <c r="C11" t="s">
        <v>7</v>
      </c>
      <c r="D11" t="s">
        <v>11</v>
      </c>
      <c r="E11">
        <v>878</v>
      </c>
      <c r="F11">
        <v>8.09</v>
      </c>
      <c r="G11">
        <v>752.66666669999995</v>
      </c>
      <c r="H11">
        <v>6.45</v>
      </c>
      <c r="J11">
        <v>9</v>
      </c>
      <c r="K11">
        <v>0.19</v>
      </c>
      <c r="L11">
        <v>67.838861359999996</v>
      </c>
      <c r="M11">
        <v>0.122202019</v>
      </c>
    </row>
    <row r="12" spans="1:13" x14ac:dyDescent="0.2">
      <c r="A12">
        <v>9</v>
      </c>
      <c r="B12">
        <v>2006</v>
      </c>
      <c r="C12" t="s">
        <v>7</v>
      </c>
      <c r="D12" t="s">
        <v>11</v>
      </c>
      <c r="E12">
        <v>699.5</v>
      </c>
      <c r="F12">
        <v>6.03</v>
      </c>
      <c r="G12">
        <v>629.66666669999995</v>
      </c>
      <c r="H12">
        <v>5.483333333</v>
      </c>
      <c r="J12">
        <v>31.5</v>
      </c>
      <c r="K12">
        <v>0.75</v>
      </c>
      <c r="L12">
        <v>27.430720820000001</v>
      </c>
      <c r="M12">
        <v>0.209311039</v>
      </c>
    </row>
    <row r="13" spans="1:13" x14ac:dyDescent="0.2">
      <c r="A13">
        <v>10</v>
      </c>
      <c r="B13">
        <v>2007</v>
      </c>
      <c r="C13" t="s">
        <v>7</v>
      </c>
      <c r="D13" t="s">
        <v>11</v>
      </c>
      <c r="E13">
        <v>698.5</v>
      </c>
      <c r="F13">
        <v>5.0199999999999996</v>
      </c>
      <c r="G13">
        <v>643.33333330000005</v>
      </c>
      <c r="H13">
        <v>5.2466666670000004</v>
      </c>
      <c r="J13">
        <v>47.5</v>
      </c>
      <c r="K13">
        <v>0.21</v>
      </c>
      <c r="L13">
        <v>16.756424970000001</v>
      </c>
      <c r="M13">
        <v>0.631567714</v>
      </c>
    </row>
    <row r="14" spans="1:13" x14ac:dyDescent="0.2">
      <c r="A14">
        <v>11</v>
      </c>
      <c r="B14">
        <v>2008</v>
      </c>
      <c r="C14" t="s">
        <v>7</v>
      </c>
      <c r="D14" t="s">
        <v>11</v>
      </c>
      <c r="E14">
        <v>587</v>
      </c>
      <c r="F14">
        <v>3.77</v>
      </c>
      <c r="G14">
        <v>527</v>
      </c>
      <c r="H14">
        <v>3.4866666670000002</v>
      </c>
      <c r="J14">
        <v>4</v>
      </c>
      <c r="K14">
        <v>0.27</v>
      </c>
      <c r="L14">
        <v>39.344631149999998</v>
      </c>
      <c r="M14">
        <v>0.28262656899999999</v>
      </c>
    </row>
    <row r="16" spans="1:13" x14ac:dyDescent="0.2">
      <c r="E16" t="s">
        <v>8</v>
      </c>
      <c r="F16" t="s">
        <v>8</v>
      </c>
      <c r="H16" t="s">
        <v>9</v>
      </c>
      <c r="I16" t="s">
        <v>9</v>
      </c>
    </row>
    <row r="17" spans="1:10" x14ac:dyDescent="0.2">
      <c r="E17" t="s">
        <v>10</v>
      </c>
      <c r="F17" t="s">
        <v>10</v>
      </c>
      <c r="H17" t="s">
        <v>10</v>
      </c>
      <c r="I17" t="s">
        <v>10</v>
      </c>
    </row>
    <row r="18" spans="1:10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H18" t="s">
        <v>4</v>
      </c>
      <c r="I18" t="s">
        <v>5</v>
      </c>
    </row>
    <row r="19" spans="1:10" x14ac:dyDescent="0.2">
      <c r="A19">
        <v>1</v>
      </c>
      <c r="B19">
        <v>1998</v>
      </c>
      <c r="C19" t="s">
        <v>7</v>
      </c>
      <c r="D19" t="s">
        <v>11</v>
      </c>
      <c r="E19">
        <f>E4-G4</f>
        <v>205.16666669999995</v>
      </c>
      <c r="F19">
        <f>F4-H4</f>
        <v>0.67333333300000042</v>
      </c>
      <c r="H19">
        <f>POWER(POWER(J4,2)+POWER(L4,2),0.5)</f>
        <v>25.371134082011544</v>
      </c>
      <c r="I19">
        <f>POWER(POWER(K4,2)+POWER(M4,2),0.5)</f>
        <v>0.65046350955036458</v>
      </c>
      <c r="J19" t="s">
        <v>12</v>
      </c>
    </row>
    <row r="20" spans="1:10" x14ac:dyDescent="0.2">
      <c r="A20">
        <v>2</v>
      </c>
      <c r="B20">
        <v>1999</v>
      </c>
      <c r="C20" t="s">
        <v>7</v>
      </c>
      <c r="D20" t="s">
        <v>11</v>
      </c>
      <c r="E20">
        <f>E5-G5</f>
        <v>128.16666669999995</v>
      </c>
      <c r="F20">
        <f>F5-H5</f>
        <v>-2.6666667000000643E-2</v>
      </c>
      <c r="H20">
        <f>POWER(POWER(J5,2)+POWER(L5,2),0.5)</f>
        <v>71.374793245245456</v>
      </c>
      <c r="I20">
        <f>POWER(POWER(K5,2)+POWER(M5,2),0.5)</f>
        <v>1.5750035271448228</v>
      </c>
      <c r="J20" t="s">
        <v>12</v>
      </c>
    </row>
    <row r="21" spans="1:10" x14ac:dyDescent="0.2">
      <c r="A21">
        <v>3</v>
      </c>
      <c r="B21">
        <v>2000</v>
      </c>
      <c r="C21" t="s">
        <v>7</v>
      </c>
      <c r="D21" t="s">
        <v>11</v>
      </c>
      <c r="E21">
        <f>E6-G6</f>
        <v>201.33333330000005</v>
      </c>
      <c r="F21">
        <f>F6-H6</f>
        <v>2.2533333329999996</v>
      </c>
      <c r="H21">
        <f>POWER(POWER(J6,2)+POWER(L6,2),0.5)</f>
        <v>54.535411533900557</v>
      </c>
      <c r="I21">
        <f>POWER(POWER(K6,2)+POWER(M6,2),0.5)</f>
        <v>1.6820828689396263</v>
      </c>
      <c r="J21" t="s">
        <v>12</v>
      </c>
    </row>
    <row r="22" spans="1:10" x14ac:dyDescent="0.2">
      <c r="A22">
        <v>4</v>
      </c>
      <c r="B22">
        <v>2001</v>
      </c>
      <c r="C22" t="s">
        <v>7</v>
      </c>
      <c r="D22" t="s">
        <v>11</v>
      </c>
      <c r="E22">
        <f>E7-G7</f>
        <v>256</v>
      </c>
      <c r="F22">
        <f>F7-H7</f>
        <v>2.8233333330000008</v>
      </c>
      <c r="H22">
        <f>POWER(POWER(J7,2)+POWER(L7,2),0.5)</f>
        <v>221.03695015496965</v>
      </c>
      <c r="I22">
        <f>POWER(POWER(K7,2)+POWER(M7,2),0.5)</f>
        <v>3.1201673743836889</v>
      </c>
      <c r="J22" t="s">
        <v>12</v>
      </c>
    </row>
    <row r="23" spans="1:10" x14ac:dyDescent="0.2">
      <c r="A23">
        <v>5</v>
      </c>
      <c r="B23">
        <v>2002</v>
      </c>
      <c r="C23" t="s">
        <v>7</v>
      </c>
      <c r="D23" t="s">
        <v>11</v>
      </c>
      <c r="E23">
        <f>E8-G8</f>
        <v>296.83333330000005</v>
      </c>
      <c r="F23">
        <f>F8-H8</f>
        <v>2.1633333329999989</v>
      </c>
      <c r="H23">
        <f>POWER(POWER(J8,2)+POWER(L8,2),0.5)</f>
        <v>99.885072845890903</v>
      </c>
      <c r="I23">
        <f>POWER(POWER(K8,2)+POWER(M8,2),0.5)</f>
        <v>0.94854859896069144</v>
      </c>
      <c r="J23" t="s">
        <v>12</v>
      </c>
    </row>
    <row r="24" spans="1:10" x14ac:dyDescent="0.2">
      <c r="A24">
        <v>6</v>
      </c>
      <c r="B24">
        <v>2003</v>
      </c>
      <c r="C24" t="s">
        <v>7</v>
      </c>
      <c r="D24" t="s">
        <v>11</v>
      </c>
      <c r="E24">
        <f>E9-G9</f>
        <v>128</v>
      </c>
      <c r="F24">
        <f>F9-H9</f>
        <v>-0.38666666699999919</v>
      </c>
      <c r="H24">
        <f>POWER(POWER(J9,2)+POWER(L9,2),0.5)</f>
        <v>63.287702858971215</v>
      </c>
      <c r="I24">
        <f>POWER(POWER(K9,2)+POWER(M9,2),0.5)</f>
        <v>0.2015219864047241</v>
      </c>
      <c r="J24" t="s">
        <v>12</v>
      </c>
    </row>
    <row r="25" spans="1:10" x14ac:dyDescent="0.2">
      <c r="A25">
        <v>7</v>
      </c>
      <c r="B25">
        <v>2004</v>
      </c>
      <c r="C25" t="s">
        <v>7</v>
      </c>
      <c r="D25" t="s">
        <v>11</v>
      </c>
      <c r="E25">
        <f>E10-G10</f>
        <v>158.83333330000005</v>
      </c>
      <c r="F25">
        <f>F10-H10</f>
        <v>1.5633333330000001</v>
      </c>
      <c r="H25">
        <f>POWER(POWER(J10,2)+POWER(L10,2),0.5)</f>
        <v>42.162713913992675</v>
      </c>
      <c r="I25">
        <f>POWER(POWER(K10,2)+POWER(M10,2),0.5)</f>
        <v>0.68510542579482603</v>
      </c>
      <c r="J25" t="s">
        <v>12</v>
      </c>
    </row>
    <row r="26" spans="1:10" x14ac:dyDescent="0.2">
      <c r="A26">
        <v>8</v>
      </c>
      <c r="B26">
        <v>2005</v>
      </c>
      <c r="C26" t="s">
        <v>7</v>
      </c>
      <c r="D26" t="s">
        <v>11</v>
      </c>
      <c r="E26">
        <f>E11-G11</f>
        <v>125.33333330000005</v>
      </c>
      <c r="F26">
        <f>F11-H11</f>
        <v>1.6399999999999997</v>
      </c>
      <c r="H26">
        <f>POWER(POWER(J11,2)+POWER(L11,2),0.5)</f>
        <v>68.433260265906526</v>
      </c>
      <c r="I26">
        <f>POWER(POWER(K11,2)+POWER(M11,2),0.5)</f>
        <v>0.22590558525117604</v>
      </c>
      <c r="J26" t="s">
        <v>12</v>
      </c>
    </row>
    <row r="27" spans="1:10" x14ac:dyDescent="0.2">
      <c r="A27">
        <v>9</v>
      </c>
      <c r="B27">
        <v>2006</v>
      </c>
      <c r="C27" t="s">
        <v>7</v>
      </c>
      <c r="D27" t="s">
        <v>11</v>
      </c>
      <c r="E27">
        <f>E12-G12</f>
        <v>69.833333300000049</v>
      </c>
      <c r="F27">
        <f>F12-H12</f>
        <v>0.54666666700000022</v>
      </c>
      <c r="H27">
        <f>POWER(POWER(J12,2)+POWER(L12,2),0.5)</f>
        <v>41.769539675519304</v>
      </c>
      <c r="I27">
        <f>POWER(POWER(K12,2)+POWER(M12,2),0.5)</f>
        <v>0.77865981728047295</v>
      </c>
      <c r="J27" t="s">
        <v>12</v>
      </c>
    </row>
    <row r="28" spans="1:10" x14ac:dyDescent="0.2">
      <c r="A28">
        <v>10</v>
      </c>
      <c r="B28">
        <v>2007</v>
      </c>
      <c r="C28" t="s">
        <v>7</v>
      </c>
      <c r="D28" t="s">
        <v>11</v>
      </c>
      <c r="E28">
        <f>E13-G13</f>
        <v>55.166666699999951</v>
      </c>
      <c r="F28">
        <f>F13-H13</f>
        <v>-0.22666666700000082</v>
      </c>
      <c r="H28">
        <f>POWER(POWER(J13,2)+POWER(L13,2),0.5)</f>
        <v>50.368916781833214</v>
      </c>
      <c r="I28">
        <f>POWER(POWER(K13,2)+POWER(M13,2),0.5)</f>
        <v>0.66556575735774282</v>
      </c>
      <c r="J28" t="s">
        <v>12</v>
      </c>
    </row>
    <row r="29" spans="1:10" x14ac:dyDescent="0.2">
      <c r="A29">
        <v>11</v>
      </c>
      <c r="B29">
        <v>2008</v>
      </c>
      <c r="C29" t="s">
        <v>7</v>
      </c>
      <c r="D29" t="s">
        <v>11</v>
      </c>
      <c r="E29">
        <f>E14-G14</f>
        <v>60</v>
      </c>
      <c r="F29">
        <f>F14-H14</f>
        <v>0.28333333299999985</v>
      </c>
      <c r="H29">
        <f>POWER(POWER(J14,2)+POWER(L14,2),0.5)</f>
        <v>39.547439870736895</v>
      </c>
      <c r="I29">
        <f>POWER(POWER(K14,2)+POWER(M14,2),0.5)</f>
        <v>0.39086797963597858</v>
      </c>
    </row>
    <row r="31" spans="1:10" x14ac:dyDescent="0.2">
      <c r="E31" t="str">
        <f>_xlfn.CONCAT(ROUND(E19,3),$J19)</f>
        <v>205.167,</v>
      </c>
      <c r="F31" t="str">
        <f>_xlfn.CONCAT(ROUND(F19,3),$J19)</f>
        <v>0.673,</v>
      </c>
      <c r="H31" t="str">
        <f>_xlfn.CONCAT(ROUND(H19,3),$J19)</f>
        <v>25.371,</v>
      </c>
      <c r="I31" t="str">
        <f>_xlfn.CONCAT(ROUND(I19,3),$J19)</f>
        <v>0.65,</v>
      </c>
    </row>
    <row r="32" spans="1:10" x14ac:dyDescent="0.2">
      <c r="E32" t="str">
        <f>_xlfn.CONCAT(ROUND(E20,3),$J20)</f>
        <v>128.167,</v>
      </c>
      <c r="F32" t="str">
        <f>_xlfn.CONCAT(ROUND(F20,3),$J20)</f>
        <v>-0.027,</v>
      </c>
      <c r="H32" t="str">
        <f>_xlfn.CONCAT(ROUND(H20,3),$J20)</f>
        <v>71.375,</v>
      </c>
      <c r="I32" t="str">
        <f>_xlfn.CONCAT(ROUND(I20,3),$J20)</f>
        <v>1.575,</v>
      </c>
    </row>
    <row r="33" spans="5:9" x14ac:dyDescent="0.2">
      <c r="E33" t="str">
        <f>_xlfn.CONCAT(ROUND(E21,3),$J21)</f>
        <v>201.333,</v>
      </c>
      <c r="F33" t="str">
        <f>_xlfn.CONCAT(ROUND(F21,3),$J21)</f>
        <v>2.253,</v>
      </c>
      <c r="H33" t="str">
        <f>_xlfn.CONCAT(ROUND(H21,3),$J21)</f>
        <v>54.535,</v>
      </c>
      <c r="I33" t="str">
        <f>_xlfn.CONCAT(ROUND(I21,3),$J21)</f>
        <v>1.682,</v>
      </c>
    </row>
    <row r="34" spans="5:9" x14ac:dyDescent="0.2">
      <c r="E34" t="str">
        <f>_xlfn.CONCAT(ROUND(E22,3),$J22)</f>
        <v>256,</v>
      </c>
      <c r="F34" t="str">
        <f>_xlfn.CONCAT(ROUND(F22,3),$J22)</f>
        <v>2.823,</v>
      </c>
      <c r="H34" t="str">
        <f>_xlfn.CONCAT(ROUND(H22,3),$J22)</f>
        <v>221.037,</v>
      </c>
      <c r="I34" t="str">
        <f>_xlfn.CONCAT(ROUND(I22,3),$J22)</f>
        <v>3.12,</v>
      </c>
    </row>
    <row r="35" spans="5:9" x14ac:dyDescent="0.2">
      <c r="E35" t="str">
        <f>_xlfn.CONCAT(ROUND(E23,3),$J23)</f>
        <v>296.833,</v>
      </c>
      <c r="F35" t="str">
        <f>_xlfn.CONCAT(ROUND(F23,3),$J23)</f>
        <v>2.163,</v>
      </c>
      <c r="H35" t="str">
        <f>_xlfn.CONCAT(ROUND(H23,3),$J23)</f>
        <v>99.885,</v>
      </c>
      <c r="I35" t="str">
        <f>_xlfn.CONCAT(ROUND(I23,3),$J23)</f>
        <v>0.949,</v>
      </c>
    </row>
    <row r="36" spans="5:9" x14ac:dyDescent="0.2">
      <c r="E36" t="str">
        <f>_xlfn.CONCAT(ROUND(E24,3),$J24)</f>
        <v>128,</v>
      </c>
      <c r="F36" t="str">
        <f>_xlfn.CONCAT(ROUND(F24,3),$J24)</f>
        <v>-0.387,</v>
      </c>
      <c r="H36" t="str">
        <f>_xlfn.CONCAT(ROUND(H24,3),$J24)</f>
        <v>63.288,</v>
      </c>
      <c r="I36" t="str">
        <f>_xlfn.CONCAT(ROUND(I24,3),$J24)</f>
        <v>0.202,</v>
      </c>
    </row>
    <row r="37" spans="5:9" x14ac:dyDescent="0.2">
      <c r="E37" t="str">
        <f>_xlfn.CONCAT(ROUND(E25,3),$J25)</f>
        <v>158.833,</v>
      </c>
      <c r="F37" t="str">
        <f>_xlfn.CONCAT(ROUND(F25,3),$J25)</f>
        <v>1.563,</v>
      </c>
      <c r="H37" t="str">
        <f>_xlfn.CONCAT(ROUND(H25,3),$J25)</f>
        <v>42.163,</v>
      </c>
      <c r="I37" t="str">
        <f>_xlfn.CONCAT(ROUND(I25,3),$J25)</f>
        <v>0.685,</v>
      </c>
    </row>
    <row r="38" spans="5:9" x14ac:dyDescent="0.2">
      <c r="E38" t="str">
        <f>_xlfn.CONCAT(ROUND(E26,3),$J26)</f>
        <v>125.333,</v>
      </c>
      <c r="F38" t="str">
        <f>_xlfn.CONCAT(ROUND(F26,3),$J26)</f>
        <v>1.64,</v>
      </c>
      <c r="H38" t="str">
        <f>_xlfn.CONCAT(ROUND(H26,3),$J26)</f>
        <v>68.433,</v>
      </c>
      <c r="I38" t="str">
        <f>_xlfn.CONCAT(ROUND(I26,3),$J26)</f>
        <v>0.226,</v>
      </c>
    </row>
    <row r="39" spans="5:9" x14ac:dyDescent="0.2">
      <c r="E39" t="str">
        <f>_xlfn.CONCAT(ROUND(E27,3),$J27)</f>
        <v>69.833,</v>
      </c>
      <c r="F39" t="str">
        <f>_xlfn.CONCAT(ROUND(F27,3),$J27)</f>
        <v>0.547,</v>
      </c>
      <c r="H39" t="str">
        <f>_xlfn.CONCAT(ROUND(H27,3),$J27)</f>
        <v>41.77,</v>
      </c>
      <c r="I39" t="str">
        <f>_xlfn.CONCAT(ROUND(I27,3),$J27)</f>
        <v>0.779,</v>
      </c>
    </row>
    <row r="40" spans="5:9" x14ac:dyDescent="0.2">
      <c r="E40" t="str">
        <f>_xlfn.CONCAT(ROUND(E28,3),$J28)</f>
        <v>55.167,</v>
      </c>
      <c r="F40" t="str">
        <f>_xlfn.CONCAT(ROUND(F28,3),$J28)</f>
        <v>-0.227,</v>
      </c>
      <c r="H40" t="str">
        <f>_xlfn.CONCAT(ROUND(H28,3),$J28)</f>
        <v>50.369,</v>
      </c>
      <c r="I40" t="str">
        <f>_xlfn.CONCAT(ROUND(I28,3),$J28)</f>
        <v>0.666,</v>
      </c>
    </row>
    <row r="41" spans="5:9" x14ac:dyDescent="0.2">
      <c r="E41" t="str">
        <f>_xlfn.CONCAT(ROUND(E29,3),$J29)</f>
        <v>60</v>
      </c>
      <c r="F41" t="str">
        <f>_xlfn.CONCAT(ROUND(F29,3),$J29)</f>
        <v>0.283</v>
      </c>
      <c r="H41" t="str">
        <f>_xlfn.CONCAT(ROUND(H29,3),$J29)</f>
        <v>39.547</v>
      </c>
      <c r="I41" t="str">
        <f>_xlfn.CONCAT(ROUND(I29,3),$J29)</f>
        <v>0.391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2025-04-25T02:41:49Z</dcterms:created>
  <dcterms:modified xsi:type="dcterms:W3CDTF">2025-04-25T03:06:14Z</dcterms:modified>
</cp:coreProperties>
</file>