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4165820B-943B-6A4E-8CFF-F3B1C87C4818}" xr6:coauthVersionLast="47" xr6:coauthVersionMax="47" xr10:uidLastSave="{00000000-0000-0000-0000-000000000000}"/>
  <bookViews>
    <workbookView xWindow="33920" yWindow="-3600" windowWidth="17020" windowHeight="20820" xr2:uid="{825E011B-43B4-C040-A3FC-4A1DB3827E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4" i="1"/>
  <c r="I23" i="1"/>
  <c r="I22" i="1"/>
  <c r="I21" i="1"/>
  <c r="I20" i="1"/>
  <c r="H31" i="1"/>
  <c r="H30" i="1"/>
  <c r="H29" i="1"/>
  <c r="H28" i="1"/>
  <c r="H27" i="1"/>
  <c r="H26" i="1"/>
  <c r="H25" i="1"/>
  <c r="H24" i="1"/>
  <c r="H23" i="1"/>
  <c r="H22" i="1"/>
  <c r="H21" i="1"/>
  <c r="H20" i="1"/>
  <c r="F29" i="1"/>
  <c r="F28" i="1"/>
  <c r="F27" i="1"/>
  <c r="F26" i="1"/>
  <c r="F25" i="1"/>
  <c r="F24" i="1"/>
  <c r="F23" i="1"/>
  <c r="F22" i="1"/>
  <c r="F21" i="1"/>
  <c r="F20" i="1"/>
  <c r="E31" i="1"/>
  <c r="E30" i="1"/>
  <c r="E29" i="1"/>
  <c r="E28" i="1"/>
  <c r="E27" i="1"/>
  <c r="E26" i="1"/>
  <c r="E25" i="1"/>
  <c r="E24" i="1"/>
  <c r="E23" i="1"/>
  <c r="E22" i="1"/>
  <c r="E21" i="1"/>
  <c r="E20" i="1"/>
</calcChain>
</file>

<file path=xl/sharedStrings.xml><?xml version="1.0" encoding="utf-8"?>
<sst xmlns="http://schemas.openxmlformats.org/spreadsheetml/2006/main" count="92" uniqueCount="12">
  <si>
    <t>rownames</t>
  </si>
  <si>
    <t>YEAR</t>
  </si>
  <si>
    <t>co2</t>
  </si>
  <si>
    <t>site</t>
  </si>
  <si>
    <t>NPP</t>
  </si>
  <si>
    <t>NUP</t>
  </si>
  <si>
    <t>ELE</t>
  </si>
  <si>
    <t>DUKE</t>
  </si>
  <si>
    <t>AMB</t>
  </si>
  <si>
    <t>AX</t>
  </si>
  <si>
    <t>ASE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</si>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</sst>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785F-CC9A-AF46-9A8B-300529CE6CDD}">
  <dimension ref="A1:M31"/>
  <sheetViews>
    <sheetView tabSelected="1" workbookViewId="0">
      <selection activeCell="J37" sqref="J37"/>
    </sheetView>
  </sheetViews>
  <sheetFormatPr baseColWidth="10" defaultRowHeight="16" x14ac:dyDescent="0.2"/>
  <sheetData>
    <row r="1" spans="1:13" x14ac:dyDescent="0.2">
      <c r="E1" t="s">
        <v>9</v>
      </c>
      <c r="F1" t="s">
        <v>9</v>
      </c>
      <c r="G1" t="s">
        <v>9</v>
      </c>
      <c r="H1" t="s">
        <v>9</v>
      </c>
      <c r="J1" t="s">
        <v>10</v>
      </c>
      <c r="K1" t="s">
        <v>10</v>
      </c>
      <c r="L1" t="s">
        <v>10</v>
      </c>
      <c r="M1" t="s">
        <v>10</v>
      </c>
    </row>
    <row r="2" spans="1:13" x14ac:dyDescent="0.2">
      <c r="E2" t="s">
        <v>6</v>
      </c>
      <c r="F2" t="s">
        <v>6</v>
      </c>
      <c r="G2" t="s">
        <v>8</v>
      </c>
      <c r="H2" t="s">
        <v>8</v>
      </c>
      <c r="J2" t="s">
        <v>6</v>
      </c>
      <c r="K2" t="s">
        <v>6</v>
      </c>
      <c r="L2" t="s">
        <v>8</v>
      </c>
      <c r="M2" t="s">
        <v>8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4</v>
      </c>
      <c r="H3" t="s">
        <v>5</v>
      </c>
      <c r="J3" t="s">
        <v>4</v>
      </c>
      <c r="K3" t="s">
        <v>5</v>
      </c>
      <c r="L3" t="s">
        <v>4</v>
      </c>
      <c r="M3" t="s">
        <v>5</v>
      </c>
    </row>
    <row r="4" spans="1:13" x14ac:dyDescent="0.2">
      <c r="A4">
        <v>135</v>
      </c>
      <c r="B4">
        <v>1996</v>
      </c>
      <c r="C4" t="s">
        <v>6</v>
      </c>
      <c r="D4" t="s">
        <v>7</v>
      </c>
      <c r="E4">
        <v>1087.4189510000001</v>
      </c>
      <c r="F4">
        <v>8.85</v>
      </c>
      <c r="G4">
        <v>1012.90069961293</v>
      </c>
      <c r="H4">
        <v>7.77</v>
      </c>
      <c r="J4">
        <v>121.9590419</v>
      </c>
      <c r="K4">
        <v>1.2872580680000001</v>
      </c>
      <c r="L4">
        <v>67.451649461811499</v>
      </c>
      <c r="M4">
        <v>0.39357337308308799</v>
      </c>
    </row>
    <row r="5" spans="1:13" x14ac:dyDescent="0.2">
      <c r="A5">
        <v>145</v>
      </c>
      <c r="B5">
        <v>1997</v>
      </c>
      <c r="C5" t="s">
        <v>6</v>
      </c>
      <c r="D5" t="s">
        <v>7</v>
      </c>
      <c r="E5">
        <v>1318.13654</v>
      </c>
      <c r="F5">
        <v>10.623333329999999</v>
      </c>
      <c r="G5">
        <v>1055.66746047426</v>
      </c>
      <c r="H5">
        <v>8.7733333333333299</v>
      </c>
      <c r="J5">
        <v>120.86194860000001</v>
      </c>
      <c r="K5">
        <v>0.97867824699999995</v>
      </c>
      <c r="L5">
        <v>80.427788343603098</v>
      </c>
      <c r="M5">
        <v>0.54906992066382299</v>
      </c>
    </row>
    <row r="6" spans="1:13" x14ac:dyDescent="0.2">
      <c r="A6">
        <v>155</v>
      </c>
      <c r="B6">
        <v>1998</v>
      </c>
      <c r="C6" t="s">
        <v>6</v>
      </c>
      <c r="D6" t="s">
        <v>7</v>
      </c>
      <c r="E6">
        <v>1193.4883480000001</v>
      </c>
      <c r="F6">
        <v>9.1533333330000008</v>
      </c>
      <c r="G6">
        <v>932.66981908426601</v>
      </c>
      <c r="H6">
        <v>7.2533333333333303</v>
      </c>
      <c r="J6">
        <v>75.386063770000007</v>
      </c>
      <c r="K6">
        <v>0.759831853</v>
      </c>
      <c r="L6">
        <v>71.764739083331804</v>
      </c>
      <c r="M6">
        <v>0.49485126834007098</v>
      </c>
    </row>
    <row r="7" spans="1:13" x14ac:dyDescent="0.2">
      <c r="A7">
        <v>165</v>
      </c>
      <c r="B7">
        <v>1999</v>
      </c>
      <c r="C7" t="s">
        <v>6</v>
      </c>
      <c r="D7" t="s">
        <v>7</v>
      </c>
      <c r="E7">
        <v>1447.362363</v>
      </c>
      <c r="F7">
        <v>10.74666667</v>
      </c>
      <c r="G7">
        <v>1127.1480006536599</v>
      </c>
      <c r="H7">
        <v>8.9966666666666608</v>
      </c>
      <c r="J7">
        <v>36.766733170000002</v>
      </c>
      <c r="K7">
        <v>0.255429921</v>
      </c>
      <c r="L7">
        <v>15.7095418081662</v>
      </c>
      <c r="M7">
        <v>0.18976593769986999</v>
      </c>
    </row>
    <row r="8" spans="1:13" x14ac:dyDescent="0.2">
      <c r="A8">
        <v>175</v>
      </c>
      <c r="B8">
        <v>2000</v>
      </c>
      <c r="C8" t="s">
        <v>6</v>
      </c>
      <c r="D8" t="s">
        <v>7</v>
      </c>
      <c r="E8">
        <v>1540.8059519999999</v>
      </c>
      <c r="F8">
        <v>11.12</v>
      </c>
      <c r="G8">
        <v>1206.0032183615299</v>
      </c>
      <c r="H8">
        <v>9</v>
      </c>
      <c r="J8">
        <v>62.769683090000001</v>
      </c>
      <c r="K8">
        <v>1.1217100040000001</v>
      </c>
      <c r="L8">
        <v>26.084099623209401</v>
      </c>
      <c r="M8">
        <v>0.49030602688524999</v>
      </c>
    </row>
    <row r="9" spans="1:13" x14ac:dyDescent="0.2">
      <c r="A9">
        <v>185</v>
      </c>
      <c r="B9">
        <v>2001</v>
      </c>
      <c r="C9" t="s">
        <v>6</v>
      </c>
      <c r="D9" t="s">
        <v>7</v>
      </c>
      <c r="E9">
        <v>1298.723264</v>
      </c>
      <c r="F9">
        <v>9.6233333329999997</v>
      </c>
      <c r="G9">
        <v>1021.63700644043</v>
      </c>
      <c r="H9">
        <v>8.3166666666666593</v>
      </c>
      <c r="J9">
        <v>86.415692039999996</v>
      </c>
      <c r="K9">
        <v>0.85614121399999998</v>
      </c>
      <c r="L9">
        <v>66.816859922017301</v>
      </c>
      <c r="M9">
        <v>0.67216896024073503</v>
      </c>
    </row>
    <row r="10" spans="1:13" x14ac:dyDescent="0.2">
      <c r="A10">
        <v>195</v>
      </c>
      <c r="B10">
        <v>2002</v>
      </c>
      <c r="C10" t="s">
        <v>6</v>
      </c>
      <c r="D10" t="s">
        <v>7</v>
      </c>
      <c r="E10">
        <v>929.56792819999998</v>
      </c>
      <c r="F10">
        <v>6.7966666670000002</v>
      </c>
      <c r="G10">
        <v>661.64749936750002</v>
      </c>
      <c r="H10">
        <v>5.1633333333333304</v>
      </c>
      <c r="J10">
        <v>152.61530160000001</v>
      </c>
      <c r="K10">
        <v>1.2090951619999999</v>
      </c>
      <c r="L10">
        <v>59.2086058402408</v>
      </c>
      <c r="M10">
        <v>0.47336854329135297</v>
      </c>
    </row>
    <row r="11" spans="1:13" x14ac:dyDescent="0.2">
      <c r="A11">
        <v>205</v>
      </c>
      <c r="B11">
        <v>2003</v>
      </c>
      <c r="C11" t="s">
        <v>6</v>
      </c>
      <c r="D11" t="s">
        <v>7</v>
      </c>
      <c r="E11">
        <v>1280.37122</v>
      </c>
      <c r="F11">
        <v>10.856666669999999</v>
      </c>
      <c r="G11">
        <v>947.92616628650001</v>
      </c>
      <c r="H11">
        <v>8.7666666666666604</v>
      </c>
      <c r="J11">
        <v>87.884492899999998</v>
      </c>
      <c r="K11">
        <v>0.51914459599999996</v>
      </c>
      <c r="L11">
        <v>28.586252545862699</v>
      </c>
      <c r="M11">
        <v>0.35708697975578801</v>
      </c>
    </row>
    <row r="12" spans="1:13" x14ac:dyDescent="0.2">
      <c r="A12">
        <v>219</v>
      </c>
      <c r="B12">
        <v>2004</v>
      </c>
      <c r="C12" t="s">
        <v>6</v>
      </c>
      <c r="D12" t="s">
        <v>7</v>
      </c>
      <c r="E12">
        <v>1386.6114729999999</v>
      </c>
      <c r="F12">
        <v>12.93</v>
      </c>
      <c r="G12">
        <v>1037.0950802520999</v>
      </c>
      <c r="H12">
        <v>9.7566666666666606</v>
      </c>
      <c r="J12">
        <v>126.5399053</v>
      </c>
      <c r="K12">
        <v>1.1177208949999999</v>
      </c>
      <c r="L12">
        <v>63.152915024509703</v>
      </c>
      <c r="M12">
        <v>0.69618803334858903</v>
      </c>
    </row>
    <row r="13" spans="1:13" x14ac:dyDescent="0.2">
      <c r="A13">
        <v>225</v>
      </c>
      <c r="B13">
        <v>2005</v>
      </c>
      <c r="C13" t="s">
        <v>6</v>
      </c>
      <c r="D13" t="s">
        <v>7</v>
      </c>
      <c r="E13">
        <v>1235.1240539999999</v>
      </c>
      <c r="F13">
        <v>10.57666667</v>
      </c>
      <c r="G13">
        <v>902.21757633806601</v>
      </c>
      <c r="H13">
        <v>8.3233333333333306</v>
      </c>
      <c r="J13">
        <v>184.68123869999999</v>
      </c>
      <c r="K13">
        <v>1.3345827480000001</v>
      </c>
      <c r="L13">
        <v>79.789072425042605</v>
      </c>
      <c r="M13">
        <v>0.83483198575787898</v>
      </c>
    </row>
    <row r="14" spans="1:13" x14ac:dyDescent="0.2">
      <c r="A14">
        <v>23</v>
      </c>
      <c r="B14">
        <v>2006</v>
      </c>
      <c r="C14" t="s">
        <v>6</v>
      </c>
      <c r="D14" t="s">
        <v>7</v>
      </c>
      <c r="E14">
        <v>1485.109815</v>
      </c>
      <c r="G14">
        <v>1129.6193809399299</v>
      </c>
      <c r="J14">
        <v>180.7368329</v>
      </c>
      <c r="L14">
        <v>72.948128326480102</v>
      </c>
    </row>
    <row r="15" spans="1:13" x14ac:dyDescent="0.2">
      <c r="A15">
        <v>24</v>
      </c>
      <c r="B15">
        <v>2007</v>
      </c>
      <c r="C15" t="s">
        <v>6</v>
      </c>
      <c r="D15" t="s">
        <v>7</v>
      </c>
      <c r="E15">
        <v>1131.846325</v>
      </c>
      <c r="G15">
        <v>940.50051976010002</v>
      </c>
      <c r="J15">
        <v>182.86250810000001</v>
      </c>
      <c r="L15">
        <v>71.983987050802995</v>
      </c>
    </row>
    <row r="17" spans="1:9" x14ac:dyDescent="0.2">
      <c r="E17" t="s">
        <v>9</v>
      </c>
      <c r="F17" t="s">
        <v>9</v>
      </c>
      <c r="H17" t="s">
        <v>10</v>
      </c>
      <c r="I17" t="s">
        <v>10</v>
      </c>
    </row>
    <row r="18" spans="1:9" x14ac:dyDescent="0.2">
      <c r="E18" t="s">
        <v>11</v>
      </c>
      <c r="F18" t="s">
        <v>11</v>
      </c>
      <c r="H18" t="s">
        <v>11</v>
      </c>
      <c r="I18" t="s">
        <v>11</v>
      </c>
    </row>
    <row r="19" spans="1:9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H19" t="s">
        <v>4</v>
      </c>
      <c r="I19" t="s">
        <v>5</v>
      </c>
    </row>
    <row r="20" spans="1:9" x14ac:dyDescent="0.2">
      <c r="A20">
        <v>135</v>
      </c>
      <c r="B20">
        <v>1996</v>
      </c>
      <c r="C20" t="s">
        <v>6</v>
      </c>
      <c r="D20" t="s">
        <v>7</v>
      </c>
      <c r="E20">
        <f>E4-G4</f>
        <v>74.518251387070109</v>
      </c>
      <c r="F20">
        <f>F4-H4</f>
        <v>1.08</v>
      </c>
      <c r="H20">
        <f>POWER(POWER(J4,2)+POWER(L4,2),0.5)</f>
        <v>139.36905293602683</v>
      </c>
      <c r="I20">
        <f>POWER(POWER(K4,2)+POWER(M4,2),0.5)</f>
        <v>1.3460807307257217</v>
      </c>
    </row>
    <row r="21" spans="1:9" x14ac:dyDescent="0.2">
      <c r="A21">
        <v>145</v>
      </c>
      <c r="B21">
        <v>1997</v>
      </c>
      <c r="C21" t="s">
        <v>6</v>
      </c>
      <c r="D21" t="s">
        <v>7</v>
      </c>
      <c r="E21">
        <f>E5-G5</f>
        <v>262.46907952573997</v>
      </c>
      <c r="F21">
        <f>F5-H5</f>
        <v>1.8499999966666696</v>
      </c>
      <c r="H21">
        <f>POWER(POWER(J5,2)+POWER(L5,2),0.5)</f>
        <v>145.17658129750976</v>
      </c>
      <c r="I21">
        <f>POWER(POWER(K5,2)+POWER(M5,2),0.5)</f>
        <v>1.1221804172809156</v>
      </c>
    </row>
    <row r="22" spans="1:9" x14ac:dyDescent="0.2">
      <c r="A22">
        <v>155</v>
      </c>
      <c r="B22">
        <v>1998</v>
      </c>
      <c r="C22" t="s">
        <v>6</v>
      </c>
      <c r="D22" t="s">
        <v>7</v>
      </c>
      <c r="E22">
        <f>E6-G6</f>
        <v>260.81852891573408</v>
      </c>
      <c r="F22">
        <f>F6-H6</f>
        <v>1.8999999996666705</v>
      </c>
      <c r="H22">
        <f>POWER(POWER(J6,2)+POWER(L6,2),0.5)</f>
        <v>104.08283425442065</v>
      </c>
      <c r="I22">
        <f>POWER(POWER(K6,2)+POWER(M6,2),0.5)</f>
        <v>0.90676470079684435</v>
      </c>
    </row>
    <row r="23" spans="1:9" x14ac:dyDescent="0.2">
      <c r="A23">
        <v>165</v>
      </c>
      <c r="B23">
        <v>1999</v>
      </c>
      <c r="C23" t="s">
        <v>6</v>
      </c>
      <c r="D23" t="s">
        <v>7</v>
      </c>
      <c r="E23">
        <f>E7-G7</f>
        <v>320.21436234634007</v>
      </c>
      <c r="F23">
        <f>F7-H7</f>
        <v>1.7500000033333389</v>
      </c>
      <c r="H23">
        <f>POWER(POWER(J7,2)+POWER(L7,2),0.5)</f>
        <v>39.982275720830351</v>
      </c>
      <c r="I23">
        <f>POWER(POWER(K7,2)+POWER(M7,2),0.5)</f>
        <v>0.31820678128094187</v>
      </c>
    </row>
    <row r="24" spans="1:9" x14ac:dyDescent="0.2">
      <c r="A24">
        <v>175</v>
      </c>
      <c r="B24">
        <v>2000</v>
      </c>
      <c r="C24" t="s">
        <v>6</v>
      </c>
      <c r="D24" t="s">
        <v>7</v>
      </c>
      <c r="E24">
        <f>E8-G8</f>
        <v>334.80273363847004</v>
      </c>
      <c r="F24">
        <f>F8-H8</f>
        <v>2.1199999999999992</v>
      </c>
      <c r="H24">
        <f>POWER(POWER(J8,2)+POWER(L8,2),0.5)</f>
        <v>67.973622592683299</v>
      </c>
      <c r="I24">
        <f>POWER(POWER(K8,2)+POWER(M8,2),0.5)</f>
        <v>1.2241868048111284</v>
      </c>
    </row>
    <row r="25" spans="1:9" x14ac:dyDescent="0.2">
      <c r="A25">
        <v>185</v>
      </c>
      <c r="B25">
        <v>2001</v>
      </c>
      <c r="C25" t="s">
        <v>6</v>
      </c>
      <c r="D25" t="s">
        <v>7</v>
      </c>
      <c r="E25">
        <f>E9-G9</f>
        <v>277.08625755956996</v>
      </c>
      <c r="F25">
        <f>F9-H9</f>
        <v>1.3066666663333404</v>
      </c>
      <c r="H25">
        <f>POWER(POWER(J9,2)+POWER(L9,2),0.5)</f>
        <v>109.23444786600334</v>
      </c>
      <c r="I25">
        <f>POWER(POWER(K9,2)+POWER(M9,2),0.5)</f>
        <v>1.0884800822341696</v>
      </c>
    </row>
    <row r="26" spans="1:9" x14ac:dyDescent="0.2">
      <c r="A26">
        <v>195</v>
      </c>
      <c r="B26">
        <v>2002</v>
      </c>
      <c r="C26" t="s">
        <v>6</v>
      </c>
      <c r="D26" t="s">
        <v>7</v>
      </c>
      <c r="E26">
        <f>E10-G10</f>
        <v>267.92042883249997</v>
      </c>
      <c r="F26">
        <f>F10-H10</f>
        <v>1.6333333336666698</v>
      </c>
      <c r="H26">
        <f>POWER(POWER(J10,2)+POWER(L10,2),0.5)</f>
        <v>163.69816519437217</v>
      </c>
      <c r="I26">
        <f>POWER(POWER(K10,2)+POWER(M10,2),0.5)</f>
        <v>1.2984563483419778</v>
      </c>
    </row>
    <row r="27" spans="1:9" x14ac:dyDescent="0.2">
      <c r="A27">
        <v>205</v>
      </c>
      <c r="B27">
        <v>2003</v>
      </c>
      <c r="C27" t="s">
        <v>6</v>
      </c>
      <c r="D27" t="s">
        <v>7</v>
      </c>
      <c r="E27">
        <f>E11-G11</f>
        <v>332.44505371349999</v>
      </c>
      <c r="F27">
        <f>F11-H11</f>
        <v>2.0900000033333388</v>
      </c>
      <c r="H27">
        <f>POWER(POWER(J11,2)+POWER(L11,2),0.5)</f>
        <v>92.41676215333446</v>
      </c>
      <c r="I27">
        <f>POWER(POWER(K11,2)+POWER(M11,2),0.5)</f>
        <v>0.63009699465012026</v>
      </c>
    </row>
    <row r="28" spans="1:9" x14ac:dyDescent="0.2">
      <c r="A28">
        <v>219</v>
      </c>
      <c r="B28">
        <v>2004</v>
      </c>
      <c r="C28" t="s">
        <v>6</v>
      </c>
      <c r="D28" t="s">
        <v>7</v>
      </c>
      <c r="E28">
        <f>E12-G12</f>
        <v>349.5163927479</v>
      </c>
      <c r="F28">
        <f>F12-H12</f>
        <v>3.1733333333333391</v>
      </c>
      <c r="H28">
        <f>POWER(POWER(J12,2)+POWER(L12,2),0.5)</f>
        <v>141.42361298392115</v>
      </c>
      <c r="I28">
        <f>POWER(POWER(K12,2)+POWER(M12,2),0.5)</f>
        <v>1.3168058994769796</v>
      </c>
    </row>
    <row r="29" spans="1:9" x14ac:dyDescent="0.2">
      <c r="A29">
        <v>225</v>
      </c>
      <c r="B29">
        <v>2005</v>
      </c>
      <c r="C29" t="s">
        <v>6</v>
      </c>
      <c r="D29" t="s">
        <v>7</v>
      </c>
      <c r="E29">
        <f>E13-G13</f>
        <v>332.90647766193388</v>
      </c>
      <c r="F29">
        <f>F13-H13</f>
        <v>2.2533333366666692</v>
      </c>
      <c r="H29">
        <f>POWER(POWER(J13,2)+POWER(L13,2),0.5)</f>
        <v>201.18015808278676</v>
      </c>
      <c r="I29">
        <f>POWER(POWER(K13,2)+POWER(M13,2),0.5)</f>
        <v>1.5741840920628296</v>
      </c>
    </row>
    <row r="30" spans="1:9" x14ac:dyDescent="0.2">
      <c r="A30">
        <v>23</v>
      </c>
      <c r="B30">
        <v>2006</v>
      </c>
      <c r="C30" t="s">
        <v>6</v>
      </c>
      <c r="D30" t="s">
        <v>7</v>
      </c>
      <c r="E30">
        <f>E14-G14</f>
        <v>355.49043406007013</v>
      </c>
      <c r="H30">
        <f>POWER(POWER(J14,2)+POWER(L14,2),0.5)</f>
        <v>194.90313541105266</v>
      </c>
      <c r="I30">
        <f>POWER(POWER(K14,2)+POWER(M14,2),0.5)</f>
        <v>0</v>
      </c>
    </row>
    <row r="31" spans="1:9" x14ac:dyDescent="0.2">
      <c r="A31">
        <v>24</v>
      </c>
      <c r="B31">
        <v>2007</v>
      </c>
      <c r="C31" t="s">
        <v>6</v>
      </c>
      <c r="D31" t="s">
        <v>7</v>
      </c>
      <c r="E31">
        <f>E15-G15</f>
        <v>191.34580523989996</v>
      </c>
      <c r="H31">
        <f>POWER(POWER(J15,2)+POWER(L15,2),0.5)</f>
        <v>196.5207145833557</v>
      </c>
      <c r="I31">
        <f>POWER(POWER(K15,2)+POWER(M15,2),0.5)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2025-04-25T02:41:49Z</dcterms:created>
  <dcterms:modified xsi:type="dcterms:W3CDTF">2025-04-25T02:50:53Z</dcterms:modified>
</cp:coreProperties>
</file>